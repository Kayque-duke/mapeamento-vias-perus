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 Brutos" sheetId="1" r:id="rId1"/>
    <sheet name="Análise MRU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<sst xmlns="http://schemas.openxmlformats.org/spreadsheetml/2006/main" count="11" uniqueCount="10">
  <si>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Tempo (s)</t>
  </si>
  <si>
    <t>Repetição 1 (m)</t>
  </si>
  <si>
    <t>Repetição 2 (m)</t>
  </si>
  <si>
    <t>Repetição 3 (m)</t>
  </si>
  <si>
    <t>Média Consolidada (m)</t>
  </si>
  <si>
    <t>Desvio-Padrão (m)</t>
  </si>
  <si>
    <t>ANÁLISE DE MRU: MÉDIA CONSOLIDADA (3 REPETIÇÕES)</t>
  </si>
  <si>
    <t>Distância Consolidada (m)</t>
  </si>
  <si>
    <t>Velocidade Média (m/s)</t>
  </si>
  <si>
    <t>-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</si>
</sst>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F172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Posição × Tempo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Cinemática MRU</c:v>
          </c:tx>
          <c:spPr>
            <a:ln w="25400">
              <a:solidFill>
                <a:srgbClr val="0369A1"/>
              </a:solidFill>
            </a:ln>
          </c:spPr>
          <c:marker>
            <c:symbol val="circle"/>
            <c:size val="7"/>
            <c:spPr>
              <a:solidFill>
                <a:srgbClr val="FFFFFF"/>
              </a:solidFill>
              <a:ln>
                <a:solidFill>
                  <a:srgbClr val="0369A1"/>
                </a:solidFill>
              </a:ln>
            </c:spPr>
          </c:marker>
          <c:trendline>
            <c:spPr>
              <a:ln w="19050">
                <a:solidFill>
                  <a:srgbClr val="B91C1C"/>
                </a:solidFill>
                <a:prstDash val="dash"/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'Análise MRU'!$A$4:$A$10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</c:numCache>
            </c:numRef>
          </c:xVal>
          <c:yVal>
            <c:numRef>
              <c:f>'Análise MRU'!$B$4:$B$10</c:f>
              <c:numCache>
                <c:formatCode>General</c:formatCode>
                <c:ptCount val="7"/>
                <c:pt idx="0">
                  <c:v>0</c:v>
                </c:pt>
                <c:pt idx="1">
                  <c:v>0.35</c:v>
                </c:pt>
                <c:pt idx="2">
                  <c:v>0.6899999999999999</c:v>
                </c:pt>
                <c:pt idx="3">
                  <c:v>1.05</c:v>
                </c:pt>
                <c:pt idx="4">
                  <c:v>1.38</c:v>
                </c:pt>
                <c:pt idx="5">
                  <c:v>1.72</c:v>
                </c:pt>
                <c:pt idx="6">
                  <c:v>2.05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>
          <c:spPr>
            <a:ln>
              <a:solidFill>
                <a:srgbClr val="E2E8F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Tempo (s)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Distância (m)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spPr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13</xdr:col>
      <xdr:colOff>457200</xdr:colOff>
      <xdr:row>17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showGridLines="0" tabSelected="1" workbookViewId="0"/>
  </sheetViews>
  <sheetFormatPr defaultRowHeight="15"/>
  <cols>
    <col min="1" max="1" width="12.7109375" customWidth="1"/>
    <col min="2" max="4" width="18.7109375" customWidth="1"/>
    <col min="5" max="6" width="24.710937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" customHeight="1">
      <c r="A2" s="2">
        <v>0</v>
      </c>
      <c r="B2" s="3">
        <v>0</v>
      </c>
      <c r="C2" s="3">
        <v>0</v>
      </c>
      <c r="D2" s="3">
        <v>0</v>
      </c>
      <c r="E2" s="3">
        <f>AVERAGE(B2:D2)</f>
        <v>0</v>
      </c>
      <c r="F2" s="4">
        <v>0</v>
      </c>
    </row>
    <row r="3" spans="1:6" ht="20" customHeight="1">
      <c r="A3" s="2">
        <v>2</v>
      </c>
      <c r="B3" s="3">
        <v>0.35</v>
      </c>
      <c r="C3" s="3">
        <v>0.36</v>
      </c>
      <c r="D3" s="3">
        <v>0.34</v>
      </c>
      <c r="E3" s="3">
        <f>AVERAGE(B3:D3)</f>
        <v>0</v>
      </c>
      <c r="F3" s="4">
        <f>STDEV.S(B3:D3)</f>
        <v>0</v>
      </c>
    </row>
    <row r="4" spans="1:6" ht="20" customHeight="1">
      <c r="A4" s="2">
        <v>4</v>
      </c>
      <c r="B4" s="3">
        <v>0.6899999999999999</v>
      </c>
      <c r="C4" s="3">
        <v>0.7</v>
      </c>
      <c r="D4" s="3">
        <v>0.68</v>
      </c>
      <c r="E4" s="3">
        <f>AVERAGE(B4:D4)</f>
        <v>0</v>
      </c>
      <c r="F4" s="4">
        <f>STDEV.S(B4:D4)</f>
        <v>0</v>
      </c>
    </row>
    <row r="5" spans="1:6" ht="20" customHeight="1">
      <c r="A5" s="2">
        <v>6</v>
      </c>
      <c r="B5" s="3">
        <v>1.05</v>
      </c>
      <c r="C5" s="3">
        <v>1.03</v>
      </c>
      <c r="D5" s="3">
        <v>1.07</v>
      </c>
      <c r="E5" s="3">
        <f>AVERAGE(B5:D5)</f>
        <v>0</v>
      </c>
      <c r="F5" s="4">
        <f>STDEV.S(B5:D5)</f>
        <v>0</v>
      </c>
    </row>
    <row r="6" spans="1:6" ht="20" customHeight="1">
      <c r="A6" s="2">
        <v>8</v>
      </c>
      <c r="B6" s="3">
        <v>1.38</v>
      </c>
      <c r="C6" s="3">
        <v>1.37</v>
      </c>
      <c r="D6" s="3">
        <v>1.39</v>
      </c>
      <c r="E6" s="3">
        <f>AVERAGE(B6:D6)</f>
        <v>0</v>
      </c>
      <c r="F6" s="4">
        <f>STDEV.S(B6:D6)</f>
        <v>0</v>
      </c>
    </row>
    <row r="7" spans="1:6" ht="20" customHeight="1">
      <c r="A7" s="2">
        <v>10</v>
      </c>
      <c r="B7" s="3">
        <v>1.72</v>
      </c>
      <c r="C7" s="3">
        <v>1.74</v>
      </c>
      <c r="D7" s="3">
        <v>1.7</v>
      </c>
      <c r="E7" s="3">
        <f>AVERAGE(B7:D7)</f>
        <v>0</v>
      </c>
      <c r="F7" s="4">
        <f>STDEV.S(B7:D7)</f>
        <v>0</v>
      </c>
    </row>
    <row r="8" spans="1:6" ht="20" customHeight="1">
      <c r="A8" s="2">
        <v>12</v>
      </c>
      <c r="B8" s="3">
        <v>2.05</v>
      </c>
      <c r="C8" s="3">
        <v>2.06</v>
      </c>
      <c r="D8" s="3">
        <v>2.04</v>
      </c>
      <c r="E8" s="3">
        <f>AVERAGE(B8:D8)</f>
        <v>0</v>
      </c>
      <c r="F8" s="4">
        <f>STDEV.S(B8:D8)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cols>
    <col min="1" max="2" width="24.7109375" customWidth="1"/>
    <col min="3" max="3" width="26.7109375" customWidth="1"/>
  </cols>
  <sheetData>
    <row r="1" spans="1:3">
      <c r="A1" s="5" t="s">
        <v>6</v>
      </c>
    </row>
    <row r="3" spans="1:3" ht="30" customHeight="1">
      <c r="A3" s="1" t="s">
        <v>0</v>
      </c>
      <c r="B3" s="1" t="s">
        <v>7</v>
      </c>
      <c r="C3" s="1" t="s">
        <v>8</v>
      </c>
    </row>
    <row r="4" spans="1:3" ht="20" customHeight="1">
      <c r="A4" s="2">
        <v>0</v>
      </c>
      <c r="B4" s="3">
        <v>0</v>
      </c>
      <c r="C4" s="2" t="s">
        <v>9</v>
      </c>
    </row>
    <row r="5" spans="1:3" ht="20" customHeight="1">
      <c r="A5" s="2">
        <v>2</v>
      </c>
      <c r="B5" s="3">
        <v>0.35</v>
      </c>
      <c r="C5" s="3">
        <v>0.18</v>
      </c>
    </row>
    <row r="6" spans="1:3" ht="20" customHeight="1">
      <c r="A6" s="2">
        <v>4</v>
      </c>
      <c r="B6" s="3">
        <v>0.6899999999999999</v>
      </c>
      <c r="C6" s="3">
        <v>0.17</v>
      </c>
    </row>
    <row r="7" spans="1:3" ht="20" customHeight="1">
      <c r="A7" s="2">
        <v>6</v>
      </c>
      <c r="B7" s="3">
        <v>1.05</v>
      </c>
      <c r="C7" s="3">
        <v>0.18</v>
      </c>
    </row>
    <row r="8" spans="1:3" ht="20" customHeight="1">
      <c r="A8" s="2">
        <v>8</v>
      </c>
      <c r="B8" s="3">
        <v>1.38</v>
      </c>
      <c r="C8" s="3">
        <v>0.17</v>
      </c>
    </row>
    <row r="9" spans="1:3" ht="20" customHeight="1">
      <c r="A9" s="2">
        <v>10</v>
      </c>
      <c r="B9" s="3">
        <v>1.72</v>
      </c>
      <c r="C9" s="3">
        <v>0.17</v>
      </c>
    </row>
    <row r="10" spans="1:3" ht="20" customHeight="1">
      <c r="A10" s="2">
        <v>12</v>
      </c>
      <c r="B10" s="3">
        <v>2.05</v>
      </c>
      <c r="C10" s="3">
        <v>0.17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 Brutos</vt:lpstr>
      <vt:lpstr>Análise MRU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2026-05-01T22:59:16Z</dcterms:created>
  <dcterms:modified xsi:type="dcterms:W3CDTF">2026-05-01T22:59:16Z</dcterms:modified>
</cp:coreProperties>
</file>