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ções SI × Imp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C9A84C"/>
      <sz val="18"/>
    </font>
    <font>
      <name val="Calibri"/>
      <color rgb="00A0A0B0"/>
      <sz val="11"/>
    </font>
    <font>
      <name val="Calibri"/>
      <b val="1"/>
      <color rgb="00C9A84C"/>
      <sz val="11"/>
    </font>
    <font>
      <name val="Calibri"/>
      <b val="1"/>
      <color rgb="003B82F6"/>
      <sz val="11"/>
    </font>
    <font>
      <name val="Calibri"/>
      <color rgb="00F5F5F7"/>
      <sz val="11"/>
    </font>
    <font>
      <name val="Consolas"/>
      <color rgb="00F5F5F7"/>
      <sz val="11"/>
    </font>
    <font>
      <name val="Consolas"/>
      <b val="1"/>
      <color rgb="0010B981"/>
      <sz val="11"/>
    </font>
    <font>
      <name val="Calibri"/>
      <b val="1"/>
      <color rgb="00C9A84C"/>
      <sz val="10"/>
    </font>
    <font>
      <name val="Consolas"/>
      <b val="1"/>
      <color rgb="0022D3EE"/>
      <sz val="11"/>
    </font>
    <font>
      <name val="Calibri"/>
      <b val="1"/>
      <color rgb="00C9A84C"/>
      <sz val="14"/>
    </font>
    <font>
      <name val="Calibri"/>
      <b val="1"/>
      <color rgb="00E5D49B"/>
      <sz val="10"/>
    </font>
    <font>
      <name val="Calibri"/>
      <i val="1"/>
      <color rgb="006B6B80"/>
      <sz val="9"/>
    </font>
  </fonts>
  <fills count="6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0F1117"/>
      </patternFill>
    </fill>
    <fill>
      <patternFill patternType="solid">
        <fgColor rgb="0014141F"/>
      </patternFill>
    </fill>
    <fill>
      <patternFill patternType="solid">
        <fgColor rgb="001E2230"/>
      </patternFill>
    </fill>
  </fills>
  <borders count="5">
    <border>
      <left/>
      <right/>
      <top/>
      <bottom/>
      <diagonal/>
    </border>
    <border>
      <bottom style="medium">
        <color rgb="00C9A84C"/>
      </bottom>
    </border>
    <border>
      <left style="thin">
        <color rgb="008B7332"/>
      </left>
      <right style="thin">
        <color rgb="008B7332"/>
      </right>
      <top style="medium">
        <color rgb="00C9A84C"/>
      </top>
      <bottom style="medium">
        <color rgb="00C9A84C"/>
      </bottom>
    </border>
    <border>
      <left style="thin">
        <color rgb="002A2A3A"/>
      </left>
      <right style="thin">
        <color rgb="002A2A3A"/>
      </right>
      <top style="medium">
        <color rgb="008B7332"/>
      </top>
      <bottom style="thin">
        <color rgb="002A2A3A"/>
      </bottom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 wrapText="1"/>
    </xf>
    <xf numFmtId="164" fontId="6" fillId="4" borderId="3" applyAlignment="1" pivotButton="0" quotePrefix="0" xfId="0">
      <alignment horizontal="center" vertical="center" wrapText="1"/>
    </xf>
    <xf numFmtId="164" fontId="7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164" fontId="9" fillId="4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 wrapText="1"/>
    </xf>
    <xf numFmtId="3" fontId="6" fillId="5" borderId="3" applyAlignment="1" pivotButton="0" quotePrefix="0" xfId="0">
      <alignment horizontal="center" vertical="center" wrapText="1"/>
    </xf>
    <xf numFmtId="3" fontId="7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165" fontId="9" fillId="5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 wrapText="1"/>
    </xf>
    <xf numFmtId="2" fontId="6" fillId="4" borderId="4" applyAlignment="1" pivotButton="0" quotePrefix="0" xfId="0">
      <alignment horizontal="center" vertical="center" wrapText="1"/>
    </xf>
    <xf numFmtId="2" fontId="7" fillId="4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166" fontId="9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 wrapText="1"/>
    </xf>
    <xf numFmtId="2" fontId="6" fillId="5" borderId="4" applyAlignment="1" pivotButton="0" quotePrefix="0" xfId="0">
      <alignment horizontal="center" vertical="center" wrapText="1"/>
    </xf>
    <xf numFmtId="2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166" fontId="9" fillId="5" borderId="4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4" applyAlignment="1" pivotButton="0" quotePrefix="0" xfId="0">
      <alignment horizontal="right" vertical="center"/>
    </xf>
    <xf numFmtId="0" fontId="0" fillId="4" borderId="4" pivotButton="0" quotePrefix="0" xfId="0"/>
    <xf numFmtId="0" fontId="7" fillId="4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right" vertical="center"/>
    </xf>
    <xf numFmtId="0" fontId="0" fillId="5" borderId="4" pivotButton="0" quotePrefix="0" xfId="0"/>
    <xf numFmtId="4" fontId="7" fillId="5" borderId="4" applyAlignment="1" pivotButton="0" quotePrefix="0" xfId="0">
      <alignment horizontal="center" vertical="center" wrapText="1"/>
    </xf>
    <xf numFmtId="165" fontId="9" fillId="5" borderId="4" applyAlignment="1" pivotButton="0" quotePrefix="0" xfId="0">
      <alignment horizontal="center" vertical="center" wrapText="1"/>
    </xf>
    <xf numFmtId="1" fontId="7" fillId="4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I2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  <col width="16" customWidth="1" min="9" max="9"/>
  </cols>
  <sheetData>
    <row r="1" ht="42" customHeight="1">
      <c r="A1" s="1" t="inlineStr">
        <is>
          <t>📊 RELATÓRIO DE MEDIÇÕES — SI × IMPERIAL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Sistema Internacional (SI) com conversão para Sistema Imperial | Três leituras independentes por grandeza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36" customHeight="1">
      <c r="A4" s="6" t="inlineStr">
        <is>
          <t>Objeto</t>
        </is>
      </c>
      <c r="B4" s="6" t="inlineStr">
        <is>
          <t>Grandeza</t>
        </is>
      </c>
      <c r="C4" s="6" t="inlineStr">
        <is>
          <t>Leitura 1</t>
        </is>
      </c>
      <c r="D4" s="6" t="inlineStr">
        <is>
          <t>Leitura 2</t>
        </is>
      </c>
      <c r="E4" s="6" t="inlineStr">
        <is>
          <t>Leitura 3</t>
        </is>
      </c>
      <c r="F4" s="6" t="inlineStr">
        <is>
          <t>Média (SI)</t>
        </is>
      </c>
      <c r="G4" s="6" t="inlineStr">
        <is>
          <t>Unidade (SI)</t>
        </is>
      </c>
      <c r="H4" s="6" t="inlineStr">
        <is>
          <t>Conversão (Imperial)</t>
        </is>
      </c>
      <c r="I4" s="6" t="inlineStr">
        <is>
          <t>Unidade (Imperial)</t>
        </is>
      </c>
    </row>
    <row r="5" ht="28" customHeight="1">
      <c r="A5" s="7" t="inlineStr">
        <is>
          <t>Ambiente de Medição</t>
        </is>
      </c>
      <c r="B5" s="8" t="inlineStr">
        <is>
          <t>Temperatura</t>
        </is>
      </c>
      <c r="C5" s="9" t="n">
        <v>22.5</v>
      </c>
      <c r="D5" s="9" t="n">
        <v>22.6</v>
      </c>
      <c r="E5" s="9" t="n">
        <v>22.5</v>
      </c>
      <c r="F5" s="10">
        <f>ROUND(AVERAGE(C5:E5), 1)</f>
        <v/>
      </c>
      <c r="G5" s="11" t="inlineStr">
        <is>
          <t>°C</t>
        </is>
      </c>
      <c r="H5" s="12">
        <f>ROUND((F5 * 1.8) + 32, 1)</f>
        <v/>
      </c>
      <c r="I5" s="11" t="inlineStr">
        <is>
          <t>°F</t>
        </is>
      </c>
    </row>
    <row r="6" ht="28" customHeight="1">
      <c r="A6" s="13" t="inlineStr">
        <is>
          <t>iPhone</t>
        </is>
      </c>
      <c r="B6" s="14" t="inlineStr">
        <is>
          <t>Massa</t>
        </is>
      </c>
      <c r="C6" s="15" t="n">
        <v>240</v>
      </c>
      <c r="D6" s="15" t="n">
        <v>241</v>
      </c>
      <c r="E6" s="15" t="n">
        <v>240</v>
      </c>
      <c r="F6" s="16">
        <f>ROUND(AVERAGE(C6:E6), 0)</f>
        <v/>
      </c>
      <c r="G6" s="17" t="inlineStr">
        <is>
          <t>g</t>
        </is>
      </c>
      <c r="H6" s="18">
        <f>ROUND(F6 / 453.592, 4)</f>
        <v/>
      </c>
      <c r="I6" s="17" t="inlineStr">
        <is>
          <t>lb</t>
        </is>
      </c>
    </row>
    <row r="7" ht="28" customHeight="1">
      <c r="A7" s="19" t="inlineStr">
        <is>
          <t>iPhone</t>
        </is>
      </c>
      <c r="B7" s="20" t="inlineStr">
        <is>
          <t>Comprimento</t>
        </is>
      </c>
      <c r="C7" s="21" t="n">
        <v>16</v>
      </c>
      <c r="D7" s="21" t="n">
        <v>16.01</v>
      </c>
      <c r="E7" s="21" t="n">
        <v>16</v>
      </c>
      <c r="F7" s="22">
        <f>ROUND(AVERAGE(C7:E7), 2)</f>
        <v/>
      </c>
      <c r="G7" s="23" t="inlineStr">
        <is>
          <t>cm</t>
        </is>
      </c>
      <c r="H7" s="24">
        <f>ROUND(F7 / 2.54, 3)</f>
        <v/>
      </c>
      <c r="I7" s="23" t="inlineStr">
        <is>
          <t>in</t>
        </is>
      </c>
    </row>
    <row r="8" ht="28" customHeight="1">
      <c r="A8" s="25" t="inlineStr">
        <is>
          <t>iPhone</t>
        </is>
      </c>
      <c r="B8" s="26" t="inlineStr">
        <is>
          <t>Largura</t>
        </is>
      </c>
      <c r="C8" s="27" t="n">
        <v>7.76</v>
      </c>
      <c r="D8" s="27" t="n">
        <v>7.75</v>
      </c>
      <c r="E8" s="27" t="n">
        <v>7.76</v>
      </c>
      <c r="F8" s="28">
        <f>ROUND(AVERAGE(C8:E8), 2)</f>
        <v/>
      </c>
      <c r="G8" s="29" t="inlineStr">
        <is>
          <t>cm</t>
        </is>
      </c>
      <c r="H8" s="30">
        <f>ROUND(F8 / 2.54, 3)</f>
        <v/>
      </c>
      <c r="I8" s="29" t="inlineStr">
        <is>
          <t>in</t>
        </is>
      </c>
    </row>
    <row r="9" ht="28" customHeight="1">
      <c r="A9" s="19" t="inlineStr">
        <is>
          <t>iPhone</t>
        </is>
      </c>
      <c r="B9" s="20" t="inlineStr">
        <is>
          <t>Altura</t>
        </is>
      </c>
      <c r="C9" s="21" t="n">
        <v>0.78</v>
      </c>
      <c r="D9" s="21" t="n">
        <v>0.79</v>
      </c>
      <c r="E9" s="21" t="n">
        <v>0.78</v>
      </c>
      <c r="F9" s="22">
        <f>ROUND(AVERAGE(C9:E9), 2)</f>
        <v/>
      </c>
      <c r="G9" s="23" t="inlineStr">
        <is>
          <t>cm</t>
        </is>
      </c>
      <c r="H9" s="24">
        <f>ROUND(F9 / 2.54, 3)</f>
        <v/>
      </c>
      <c r="I9" s="23" t="inlineStr">
        <is>
          <t>in</t>
        </is>
      </c>
    </row>
    <row r="10" ht="28" customHeight="1">
      <c r="A10" s="13" t="inlineStr">
        <is>
          <t>Livro Técnico</t>
        </is>
      </c>
      <c r="B10" s="14" t="inlineStr">
        <is>
          <t>Massa</t>
        </is>
      </c>
      <c r="C10" s="15" t="n">
        <v>1250</v>
      </c>
      <c r="D10" s="15" t="n">
        <v>1251</v>
      </c>
      <c r="E10" s="15" t="n">
        <v>1250</v>
      </c>
      <c r="F10" s="16">
        <f>ROUND(AVERAGE(C10:E10), 0)</f>
        <v/>
      </c>
      <c r="G10" s="17" t="inlineStr">
        <is>
          <t>g</t>
        </is>
      </c>
      <c r="H10" s="18">
        <f>ROUND(F10 / 453.592, 4)</f>
        <v/>
      </c>
      <c r="I10" s="17" t="inlineStr">
        <is>
          <t>lb</t>
        </is>
      </c>
    </row>
    <row r="11" ht="28" customHeight="1">
      <c r="A11" s="19" t="inlineStr">
        <is>
          <t>Livro Técnico</t>
        </is>
      </c>
      <c r="B11" s="20" t="inlineStr">
        <is>
          <t>Comprimento</t>
        </is>
      </c>
      <c r="C11" s="21" t="n">
        <v>24.1</v>
      </c>
      <c r="D11" s="21" t="n">
        <v>24.11</v>
      </c>
      <c r="E11" s="21" t="n">
        <v>24.1</v>
      </c>
      <c r="F11" s="22">
        <f>ROUND(AVERAGE(C11:E11), 2)</f>
        <v/>
      </c>
      <c r="G11" s="23" t="inlineStr">
        <is>
          <t>cm</t>
        </is>
      </c>
      <c r="H11" s="24">
        <f>ROUND(F11 / 2.54, 3)</f>
        <v/>
      </c>
      <c r="I11" s="23" t="inlineStr">
        <is>
          <t>in</t>
        </is>
      </c>
    </row>
    <row r="12" ht="28" customHeight="1">
      <c r="A12" s="25" t="inlineStr">
        <is>
          <t>Livro Técnico</t>
        </is>
      </c>
      <c r="B12" s="26" t="inlineStr">
        <is>
          <t>Largura</t>
        </is>
      </c>
      <c r="C12" s="27" t="n">
        <v>17.2</v>
      </c>
      <c r="D12" s="27" t="n">
        <v>17.2</v>
      </c>
      <c r="E12" s="27" t="n">
        <v>17.19</v>
      </c>
      <c r="F12" s="28">
        <f>ROUND(AVERAGE(C12:E12), 2)</f>
        <v/>
      </c>
      <c r="G12" s="29" t="inlineStr">
        <is>
          <t>cm</t>
        </is>
      </c>
      <c r="H12" s="30">
        <f>ROUND(F12 / 2.54, 3)</f>
        <v/>
      </c>
      <c r="I12" s="29" t="inlineStr">
        <is>
          <t>in</t>
        </is>
      </c>
    </row>
    <row r="13" ht="28" customHeight="1">
      <c r="A13" s="19" t="inlineStr">
        <is>
          <t>Livro Técnico</t>
        </is>
      </c>
      <c r="B13" s="20" t="inlineStr">
        <is>
          <t>Altura</t>
        </is>
      </c>
      <c r="C13" s="21" t="n">
        <v>4.55</v>
      </c>
      <c r="D13" s="21" t="n">
        <v>4.56</v>
      </c>
      <c r="E13" s="21" t="n">
        <v>4.55</v>
      </c>
      <c r="F13" s="22">
        <f>ROUND(AVERAGE(C13:E13), 2)</f>
        <v/>
      </c>
      <c r="G13" s="23" t="inlineStr">
        <is>
          <t>cm</t>
        </is>
      </c>
      <c r="H13" s="24">
        <f>ROUND(F13 / 2.54, 3)</f>
        <v/>
      </c>
      <c r="I13" s="23" t="inlineStr">
        <is>
          <t>in</t>
        </is>
      </c>
    </row>
    <row r="14" ht="28" customHeight="1">
      <c r="A14" s="13" t="inlineStr">
        <is>
          <t>Tubo Cilíndrico</t>
        </is>
      </c>
      <c r="B14" s="14" t="inlineStr">
        <is>
          <t>Massa</t>
        </is>
      </c>
      <c r="C14" s="15" t="n">
        <v>205</v>
      </c>
      <c r="D14" s="15" t="n">
        <v>205</v>
      </c>
      <c r="E14" s="15" t="n">
        <v>206</v>
      </c>
      <c r="F14" s="16">
        <f>ROUND(AVERAGE(C14:E14), 0)</f>
        <v/>
      </c>
      <c r="G14" s="17" t="inlineStr">
        <is>
          <t>g</t>
        </is>
      </c>
      <c r="H14" s="18">
        <f>ROUND(F14 / 453.592, 4)</f>
        <v/>
      </c>
      <c r="I14" s="17" t="inlineStr">
        <is>
          <t>lb</t>
        </is>
      </c>
    </row>
    <row r="15" ht="28" customHeight="1">
      <c r="A15" s="19" t="inlineStr">
        <is>
          <t>Tubo Cilíndrico</t>
        </is>
      </c>
      <c r="B15" s="20" t="inlineStr">
        <is>
          <t>Comprimento</t>
        </is>
      </c>
      <c r="C15" s="21" t="n">
        <v>21.5</v>
      </c>
      <c r="D15" s="21" t="n">
        <v>21.52</v>
      </c>
      <c r="E15" s="21" t="n">
        <v>21.5</v>
      </c>
      <c r="F15" s="22">
        <f>ROUND(AVERAGE(C15:E15), 2)</f>
        <v/>
      </c>
      <c r="G15" s="23" t="inlineStr">
        <is>
          <t>cm</t>
        </is>
      </c>
      <c r="H15" s="24">
        <f>ROUND(F15 / 2.54, 3)</f>
        <v/>
      </c>
      <c r="I15" s="23" t="inlineStr">
        <is>
          <t>in</t>
        </is>
      </c>
    </row>
    <row r="16" ht="28" customHeight="1">
      <c r="A16" s="25" t="inlineStr">
        <is>
          <t>Tubo Cilíndrico</t>
        </is>
      </c>
      <c r="B16" s="26" t="inlineStr">
        <is>
          <t>Largura</t>
        </is>
      </c>
      <c r="C16" s="27" t="n">
        <v>7.6</v>
      </c>
      <c r="D16" s="27" t="n">
        <v>7.61</v>
      </c>
      <c r="E16" s="27" t="n">
        <v>7.6</v>
      </c>
      <c r="F16" s="28">
        <f>ROUND(AVERAGE(C16:E16), 2)</f>
        <v/>
      </c>
      <c r="G16" s="29" t="inlineStr">
        <is>
          <t>cm</t>
        </is>
      </c>
      <c r="H16" s="30">
        <f>ROUND(F16 / 2.54, 3)</f>
        <v/>
      </c>
      <c r="I16" s="29" t="inlineStr">
        <is>
          <t>in</t>
        </is>
      </c>
    </row>
    <row r="17" ht="28" customHeight="1">
      <c r="A17" s="19" t="inlineStr">
        <is>
          <t>Tubo Cilíndrico</t>
        </is>
      </c>
      <c r="B17" s="20" t="inlineStr">
        <is>
          <t>Altura</t>
        </is>
      </c>
      <c r="C17" s="21" t="n">
        <v>7.6</v>
      </c>
      <c r="D17" s="21" t="n">
        <v>7.6</v>
      </c>
      <c r="E17" s="21" t="n">
        <v>7.59</v>
      </c>
      <c r="F17" s="22">
        <f>ROUND(AVERAGE(C17:E17), 2)</f>
        <v/>
      </c>
      <c r="G17" s="23" t="inlineStr">
        <is>
          <t>cm</t>
        </is>
      </c>
      <c r="H17" s="24">
        <f>ROUND(F17 / 2.54, 3)</f>
        <v/>
      </c>
      <c r="I17" s="23" t="inlineStr">
        <is>
          <t>in</t>
        </is>
      </c>
    </row>
    <row r="18" ht="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4" customHeight="1">
      <c r="A19" s="31" t="inlineStr">
        <is>
          <t>📈 ESTATÍSTICAS RESUMIDAS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26" customHeight="1">
      <c r="A20" s="32" t="inlineStr">
        <is>
          <t>iPhone — Massa Média</t>
        </is>
      </c>
      <c r="B20" s="33" t="n"/>
      <c r="C20" s="33" t="n"/>
      <c r="D20" s="34">
        <f>F6</f>
        <v/>
      </c>
      <c r="E20" s="33" t="n"/>
      <c r="F20" s="23" t="inlineStr">
        <is>
          <t>g</t>
        </is>
      </c>
      <c r="G20" s="35">
        <f>H6</f>
        <v/>
      </c>
      <c r="H20" s="33" t="n"/>
      <c r="I20" s="23" t="inlineStr">
        <is>
          <t>lb</t>
        </is>
      </c>
    </row>
    <row r="21" ht="26" customHeight="1">
      <c r="A21" s="36" t="inlineStr">
        <is>
          <t>iPhone — Volume Aprox. (C×L×A)</t>
        </is>
      </c>
      <c r="B21" s="37" t="n"/>
      <c r="C21" s="37" t="n"/>
      <c r="D21" s="38">
        <f>ROUND(F7*F8*F9, 2)</f>
        <v/>
      </c>
      <c r="E21" s="37" t="n"/>
      <c r="F21" s="29" t="inlineStr">
        <is>
          <t>cm³</t>
        </is>
      </c>
      <c r="G21" s="39">
        <f>ROUND(H7*H8*H9, 4)</f>
        <v/>
      </c>
      <c r="H21" s="37" t="n"/>
      <c r="I21" s="29" t="inlineStr">
        <is>
          <t>in³</t>
        </is>
      </c>
    </row>
    <row r="22" ht="26" customHeight="1">
      <c r="A22" s="32" t="inlineStr">
        <is>
          <t>Livro Técnico — Massa Média</t>
        </is>
      </c>
      <c r="B22" s="33" t="n"/>
      <c r="C22" s="33" t="n"/>
      <c r="D22" s="34">
        <f>F10</f>
        <v/>
      </c>
      <c r="E22" s="33" t="n"/>
      <c r="F22" s="23" t="inlineStr">
        <is>
          <t>g</t>
        </is>
      </c>
      <c r="G22" s="35">
        <f>H10</f>
        <v/>
      </c>
      <c r="H22" s="33" t="n"/>
      <c r="I22" s="23" t="inlineStr">
        <is>
          <t>lb</t>
        </is>
      </c>
    </row>
    <row r="23" ht="26" customHeight="1">
      <c r="A23" s="36" t="inlineStr">
        <is>
          <t>Livro Técnico — Volume Aprox. (C×L×A)</t>
        </is>
      </c>
      <c r="B23" s="37" t="n"/>
      <c r="C23" s="37" t="n"/>
      <c r="D23" s="38">
        <f>ROUND(F11*F12*F13, 2)</f>
        <v/>
      </c>
      <c r="E23" s="37" t="n"/>
      <c r="F23" s="29" t="inlineStr">
        <is>
          <t>cm³</t>
        </is>
      </c>
      <c r="G23" s="39">
        <f>ROUND(H11*H12*H13, 4)</f>
        <v/>
      </c>
      <c r="H23" s="37" t="n"/>
      <c r="I23" s="29" t="inlineStr">
        <is>
          <t>in³</t>
        </is>
      </c>
    </row>
    <row r="24" ht="26" customHeight="1">
      <c r="A24" s="32" t="inlineStr">
        <is>
          <t>Tubo Cilíndrico — Massa Média</t>
        </is>
      </c>
      <c r="B24" s="33" t="n"/>
      <c r="C24" s="33" t="n"/>
      <c r="D24" s="34">
        <f>F14</f>
        <v/>
      </c>
      <c r="E24" s="33" t="n"/>
      <c r="F24" s="23" t="inlineStr">
        <is>
          <t>g</t>
        </is>
      </c>
      <c r="G24" s="35">
        <f>H14</f>
        <v/>
      </c>
      <c r="H24" s="33" t="n"/>
      <c r="I24" s="23" t="inlineStr">
        <is>
          <t>lb</t>
        </is>
      </c>
    </row>
    <row r="25" ht="26" customHeight="1">
      <c r="A25" s="36" t="inlineStr">
        <is>
          <t>Tubo Cilíndrico — Volume Aprox. (π×(D/2)²×C)</t>
        </is>
      </c>
      <c r="B25" s="37" t="n"/>
      <c r="C25" s="37" t="n"/>
      <c r="D25" s="38">
        <f>ROUND(PI()*(F16/2)^2*F15, 2)</f>
        <v/>
      </c>
      <c r="E25" s="37" t="n"/>
      <c r="F25" s="29" t="inlineStr">
        <is>
          <t>cm³</t>
        </is>
      </c>
      <c r="G25" s="39">
        <f>ROUND(PI()*(H16/2)^2*H15, 4)</f>
        <v/>
      </c>
      <c r="H25" s="37" t="n"/>
      <c r="I25" s="29" t="inlineStr">
        <is>
          <t>in³</t>
        </is>
      </c>
    </row>
    <row r="26" ht="26" customHeight="1">
      <c r="A26" s="32" t="inlineStr">
        <is>
          <t>Total de Medições Realizadas</t>
        </is>
      </c>
      <c r="B26" s="33" t="n"/>
      <c r="C26" s="33" t="n"/>
      <c r="D26" s="40">
        <f>COUNTA(C5:E17)</f>
        <v/>
      </c>
      <c r="E26" s="33" t="n"/>
      <c r="F26" s="23" t="inlineStr">
        <is>
          <t>leituras</t>
        </is>
      </c>
      <c r="G26" s="35" t="inlineStr"/>
      <c r="H26" s="33" t="n"/>
      <c r="I26" s="23" t="inlineStr"/>
    </row>
    <row r="27" ht="26" customHeight="1">
      <c r="A27" s="36" t="inlineStr">
        <is>
          <t>Temperatura do Ensaio</t>
        </is>
      </c>
      <c r="B27" s="37" t="n"/>
      <c r="C27" s="37" t="n"/>
      <c r="D27" s="41">
        <f>F5</f>
        <v/>
      </c>
      <c r="E27" s="37" t="n"/>
      <c r="F27" s="29" t="inlineStr">
        <is>
          <t>°C</t>
        </is>
      </c>
      <c r="G27" s="42">
        <f>H5</f>
        <v/>
      </c>
      <c r="H27" s="37" t="n"/>
      <c r="I27" s="29" t="inlineStr">
        <is>
          <t>°F</t>
        </is>
      </c>
    </row>
    <row r="29" ht="22" customHeight="1">
      <c r="A29" s="43" t="inlineStr">
        <is>
          <t>Gerado automaticamente pelo GENIUS EXCEL MASTER — Sistema de Medições de Precisão | Abril 2026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</sheetData>
  <mergeCells count="28">
    <mergeCell ref="D20:E20"/>
    <mergeCell ref="G21:H21"/>
    <mergeCell ref="A25:C25"/>
    <mergeCell ref="G27:H27"/>
    <mergeCell ref="A27:C27"/>
    <mergeCell ref="A21:C21"/>
    <mergeCell ref="D22:E22"/>
    <mergeCell ref="G23:H23"/>
    <mergeCell ref="A26:C26"/>
    <mergeCell ref="D21:E21"/>
    <mergeCell ref="A2:I2"/>
    <mergeCell ref="A23:C23"/>
    <mergeCell ref="D27:E27"/>
    <mergeCell ref="A22:C22"/>
    <mergeCell ref="A20:C20"/>
    <mergeCell ref="A29:I29"/>
    <mergeCell ref="A19:I19"/>
    <mergeCell ref="G24:H24"/>
    <mergeCell ref="A24:C24"/>
    <mergeCell ref="G26:H26"/>
    <mergeCell ref="D25:E25"/>
    <mergeCell ref="G20:H20"/>
    <mergeCell ref="D24:E24"/>
    <mergeCell ref="G25:H25"/>
    <mergeCell ref="D23:E23"/>
    <mergeCell ref="A1:I1"/>
    <mergeCell ref="G22:H22"/>
    <mergeCell ref="D26:E26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2026-04-21T21:49:23Z</dcterms:created>
  <dcterms:modified xsi:type="dcterms:W3CDTF">2026-04-21T21:49:23Z</dcterms:modified>
</cp:coreProperties>
</file>