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TÉCNICO" sheetId="1" r:id="rId1"/>
    <sheet name="DADOS (Backend)" sheetId="2" r:id="rId2"/>
  </sheets>
  <calcPr calcId="124519" fullCalcOnLoad="1"/>
</workbook>
</file>

<file path=xl/sharedStrings.xml><?xml version="1.0" encoding="utf-8"?>
<sst xmlns="http://schemas.openxmlformats.org/spreadsheetml/2006/main" count="14" uniqueCount="8">
  <si>
    <t>Tempo (s)</t>
  </si>
  <si>
    <t>Distância Rep. 1 (m)</t>
  </si>
  <si>
    <t>Distância Rep. 2 (m)</t>
  </si>
  <si>
    <t>Distância Rep. 3 (m)</t>
  </si>
  <si>
    <t>Média Consolidada (m)</t>
  </si>
  <si>
    <t>Desvio-Padrão (m)</t>
  </si>
  <si>
    <t>ANÁLISE DE MRU: MÉDIA CONSOLIDADA (3 REPETIÇÕES)</t>
  </si>
  <si>
    <t>CONTROLE DE QUALIDADE E DESVIO PADRÃO  |  ENG. RESP: KAYQUE RODRIGUES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</si>
</sst>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5">
    <font>
      <sz val="11"/>
      <color theme="1"/>
      <name val="Calibri"/>
      <family val="2"/>
      <scheme val="minor"/>
    </font>
    <font>
      <b/>
      <sz val="20"/>
      <color rgb="FF0F172A"/>
      <name val="Calibri"/>
      <family val="2"/>
      <scheme val="minor"/>
    </font>
    <font>
      <b/>
      <sz val="11"/>
      <color rgb="FF0F766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F1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4155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">
    <cellStyle name="Normal" xfId="0" builtinId="0"/>
  </cellStyles>
  <dxfs count="1">
    <dxf>
      <font>
        <b/>
        <color rgb="FF991B1B"/>
      </font>
      <numFmt numFmtId="165" formatCode="0.000"/>
      <fill>
        <patternFill>
          <bgColor rgb="FFFEE2E2"/>
        </patternFill>
      </fill>
      <border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</a:defRPr>
            </a:pPr>
            <a:r>
              <a:rPr lang="en-US" sz="1100" b="1" baseline="0">
                <a:solidFill>
                  <a:srgbClr val="0F172A"/>
                </a:solidFill>
              </a:rPr>
              <a:t>ENSAIO CINEMÁTICO: MÉDIA CONSOLIDADA COM BARRAS DE DESVIO (ERRO)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Média Consolidada</c:v>
          </c:tx>
          <c:spPr>
            <a:ln w="28575">
              <a:solidFill>
                <a:srgbClr val="0F766E"/>
              </a:solidFill>
            </a:ln>
          </c:spPr>
          <c:marker>
            <c:symbol val="square"/>
            <c:size val="7"/>
            <c:spPr>
              <a:solidFill>
                <a:srgbClr val="FFFFFF"/>
              </a:solidFill>
              <a:ln>
                <a:solidFill>
                  <a:srgbClr val="0F766E"/>
                </a:solidFill>
              </a:ln>
            </c:spPr>
          </c:marker>
          <c:trendline>
            <c:name>Regressão Linear da Média</c:name>
            <c:spPr>
              <a:ln w="19050">
                <a:solidFill>
                  <a:srgbClr val="475569"/>
                </a:solidFill>
                <a:prstDash val="dash"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</c:numLit>
            </c:minus>
            <c:spPr>
              <a:ln w="15875">
                <a:solidFill>
                  <a:srgbClr val="991B1B"/>
                </a:solidFill>
              </a:ln>
            </c:spPr>
          </c:errBars>
          <c:xVal>
            <c:numRef>
              <c:f>'DADOS (Backend)'!$A$2:$A$8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'DADOS (Backend)'!$E$2:$E$8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E2E8F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475569"/>
                    </a:solidFill>
                  </a:defRPr>
                </a:pPr>
                <a:r>
                  <a:rPr lang="en-US" baseline="0">
                    <a:solidFill>
                      <a:srgbClr val="475569"/>
                    </a:solidFill>
                  </a:rPr>
                  <a:t>Tempo (s)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475569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475569"/>
                    </a:solidFill>
                  </a:defRPr>
                </a:pPr>
                <a:r>
                  <a:rPr lang="en-US" baseline="0">
                    <a:solidFill>
                      <a:srgbClr val="475569"/>
                    </a:solidFill>
                  </a:rPr>
                  <a:t>Distância (m)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475569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solidFill>
            <a:srgbClr val="CBD5E1"/>
          </a:solidFill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8</xdr:col>
      <xdr:colOff>28575</xdr:colOff>
      <xdr:row>34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showGridLines="0" tabSelected="1" workbookViewId="0"/>
  </sheetViews>
  <sheetFormatPr defaultRowHeight="15"/>
  <cols>
    <col min="1" max="1" width="8.7109375" style="1" customWidth="1"/>
    <col min="2" max="2" width="3.7109375" customWidth="1"/>
    <col min="3" max="3" width="12.7109375" customWidth="1"/>
    <col min="4" max="6" width="20.7109375" customWidth="1"/>
    <col min="7" max="8" width="22.7109375" customWidth="1"/>
    <col min="9" max="20" width="8.7109375" style="1" customWidth="1"/>
  </cols>
  <sheetData>
    <row r="1" spans="2:8" s="1" customFormat="1" ht="16" customHeight="1"/>
    <row r="2" spans="2:8" s="1" customFormat="1" ht="16" customHeight="1">
      <c r="B2" s="2" t="s">
        <v>6</v>
      </c>
    </row>
    <row r="3" spans="2:8" s="1" customFormat="1" ht="16" customHeight="1">
      <c r="B3" s="3" t="s">
        <v>7</v>
      </c>
    </row>
    <row r="4" spans="2:8" s="1" customFormat="1" ht="16" customHeight="1"/>
    <row r="5" spans="2:8" ht="35" customHeight="1"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</row>
    <row r="6" spans="2:8" ht="20" customHeight="1">
      <c r="C6" s="5">
        <f>'DADOS (Backend)'!A2</f>
        <v>0</v>
      </c>
      <c r="D6" s="6">
        <f>'DADOS (Backend)'!B2</f>
        <v>0</v>
      </c>
      <c r="E6" s="6">
        <f>'DADOS (Backend)'!C2</f>
        <v>0</v>
      </c>
      <c r="F6" s="6">
        <f>'DADOS (Backend)'!D2</f>
        <v>0</v>
      </c>
      <c r="G6" s="6">
        <f>'DADOS (Backend)'!E2</f>
        <v>0</v>
      </c>
      <c r="H6" s="7">
        <f>'DADOS (Backend)'!F2</f>
        <v>0</v>
      </c>
    </row>
    <row r="7" spans="2:8" ht="20" customHeight="1">
      <c r="C7" s="5">
        <f>'DADOS (Backend)'!A3</f>
        <v>0</v>
      </c>
      <c r="D7" s="6">
        <f>'DADOS (Backend)'!B3</f>
        <v>0</v>
      </c>
      <c r="E7" s="6">
        <f>'DADOS (Backend)'!C3</f>
        <v>0</v>
      </c>
      <c r="F7" s="6">
        <f>'DADOS (Backend)'!D3</f>
        <v>0</v>
      </c>
      <c r="G7" s="6">
        <f>'DADOS (Backend)'!E3</f>
        <v>0</v>
      </c>
      <c r="H7" s="7">
        <f>'DADOS (Backend)'!F3</f>
        <v>0</v>
      </c>
    </row>
    <row r="8" spans="2:8" ht="20" customHeight="1">
      <c r="C8" s="5">
        <f>'DADOS (Backend)'!A4</f>
        <v>0</v>
      </c>
      <c r="D8" s="6">
        <f>'DADOS (Backend)'!B4</f>
        <v>0</v>
      </c>
      <c r="E8" s="6">
        <f>'DADOS (Backend)'!C4</f>
        <v>0</v>
      </c>
      <c r="F8" s="6">
        <f>'DADOS (Backend)'!D4</f>
        <v>0</v>
      </c>
      <c r="G8" s="6">
        <f>'DADOS (Backend)'!E4</f>
        <v>0</v>
      </c>
      <c r="H8" s="7">
        <f>'DADOS (Backend)'!F4</f>
        <v>0</v>
      </c>
    </row>
    <row r="9" spans="2:8" ht="20" customHeight="1">
      <c r="C9" s="5">
        <f>'DADOS (Backend)'!A5</f>
        <v>0</v>
      </c>
      <c r="D9" s="6">
        <f>'DADOS (Backend)'!B5</f>
        <v>0</v>
      </c>
      <c r="E9" s="6">
        <f>'DADOS (Backend)'!C5</f>
        <v>0</v>
      </c>
      <c r="F9" s="6">
        <f>'DADOS (Backend)'!D5</f>
        <v>0</v>
      </c>
      <c r="G9" s="6">
        <f>'DADOS (Backend)'!E5</f>
        <v>0</v>
      </c>
      <c r="H9" s="7">
        <f>'DADOS (Backend)'!F5</f>
        <v>0</v>
      </c>
    </row>
    <row r="10" spans="2:8" ht="20" customHeight="1">
      <c r="C10" s="5">
        <f>'DADOS (Backend)'!A6</f>
        <v>0</v>
      </c>
      <c r="D10" s="6">
        <f>'DADOS (Backend)'!B6</f>
        <v>0</v>
      </c>
      <c r="E10" s="6">
        <f>'DADOS (Backend)'!C6</f>
        <v>0</v>
      </c>
      <c r="F10" s="6">
        <f>'DADOS (Backend)'!D6</f>
        <v>0</v>
      </c>
      <c r="G10" s="6">
        <f>'DADOS (Backend)'!E6</f>
        <v>0</v>
      </c>
      <c r="H10" s="7">
        <f>'DADOS (Backend)'!F6</f>
        <v>0</v>
      </c>
    </row>
    <row r="11" spans="2:8" ht="20" customHeight="1">
      <c r="C11" s="5">
        <f>'DADOS (Backend)'!A7</f>
        <v>0</v>
      </c>
      <c r="D11" s="6">
        <f>'DADOS (Backend)'!B7</f>
        <v>0</v>
      </c>
      <c r="E11" s="6">
        <f>'DADOS (Backend)'!C7</f>
        <v>0</v>
      </c>
      <c r="F11" s="6">
        <f>'DADOS (Backend)'!D7</f>
        <v>0</v>
      </c>
      <c r="G11" s="6">
        <f>'DADOS (Backend)'!E7</f>
        <v>0</v>
      </c>
      <c r="H11" s="7">
        <f>'DADOS (Backend)'!F7</f>
        <v>0</v>
      </c>
    </row>
    <row r="12" spans="2:8" ht="20" customHeight="1">
      <c r="C12" s="5">
        <f>'DADOS (Backend)'!A8</f>
        <v>0</v>
      </c>
      <c r="D12" s="6">
        <f>'DADOS (Backend)'!B8</f>
        <v>0</v>
      </c>
      <c r="E12" s="6">
        <f>'DADOS (Backend)'!C8</f>
        <v>0</v>
      </c>
      <c r="F12" s="6">
        <f>'DADOS (Backend)'!D8</f>
        <v>0</v>
      </c>
      <c r="G12" s="6">
        <f>'DADOS (Backend)'!E8</f>
        <v>0</v>
      </c>
      <c r="H12" s="7">
        <f>'DADOS (Backend)'!F8</f>
        <v>0</v>
      </c>
    </row>
    <row r="13" spans="2:8" s="1" customFormat="1" ht="16" customHeight="1"/>
    <row r="14" spans="2:8" s="1" customFormat="1" ht="16" customHeight="1"/>
    <row r="15" spans="2:8" s="1" customFormat="1" ht="16" customHeight="1"/>
    <row r="16" spans="2:8" s="1" customFormat="1" ht="16" customHeight="1"/>
    <row r="17" s="1" customFormat="1" ht="16" customHeight="1"/>
    <row r="18" s="1" customFormat="1" ht="16" customHeight="1"/>
    <row r="19" s="1" customFormat="1" ht="16" customHeight="1"/>
    <row r="20" s="1" customFormat="1" ht="16" customHeight="1"/>
    <row r="21" s="1" customFormat="1" ht="16" customHeight="1"/>
    <row r="22" s="1" customFormat="1" ht="16" customHeight="1"/>
    <row r="23" s="1" customFormat="1" ht="16" customHeight="1"/>
    <row r="24" s="1" customFormat="1" ht="16" customHeight="1"/>
    <row r="25" s="1" customFormat="1" ht="16" customHeight="1"/>
    <row r="26" s="1" customFormat="1" ht="16" customHeight="1"/>
    <row r="27" s="1" customFormat="1" ht="16" customHeight="1"/>
    <row r="28" s="1" customFormat="1" ht="16" customHeight="1"/>
    <row r="29" s="1" customFormat="1" ht="16" customHeight="1"/>
    <row r="30" s="1" customFormat="1" ht="16" customHeight="1"/>
    <row r="31" s="1" customFormat="1" ht="16" customHeight="1"/>
    <row r="32" s="1" customFormat="1" ht="16" customHeight="1"/>
    <row r="33" s="1" customFormat="1" ht="16" customHeight="1"/>
    <row r="34" s="1" customFormat="1" ht="16" customHeight="1"/>
    <row r="35" s="1" customFormat="1" ht="16" customHeight="1"/>
    <row r="36" s="1" customFormat="1" ht="16" customHeight="1"/>
    <row r="37" s="1" customFormat="1" ht="16" customHeight="1"/>
    <row r="38" s="1" customFormat="1" ht="16" customHeight="1"/>
    <row r="39" s="1" customFormat="1" ht="16" customHeight="1"/>
    <row r="40" s="1" customFormat="1" ht="16" customHeight="1"/>
    <row r="41" s="1" customFormat="1" ht="16" customHeight="1"/>
    <row r="42" s="1" customFormat="1" ht="16" customHeight="1"/>
    <row r="43" s="1" customFormat="1" ht="16" customHeight="1"/>
    <row r="44" s="1" customFormat="1" ht="16" customHeight="1"/>
    <row r="45" s="1" customFormat="1" ht="16" customHeight="1"/>
  </sheetData>
  <conditionalFormatting sqref="H6:H12">
    <cfRule type="cellIs" dxfId="0" priority="1" operator="greaterThanOrEqual">
      <formula>0.019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/>
  </sheetViews>
  <sheetFormatPr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9">
        <v>0</v>
      </c>
      <c r="B2" s="10">
        <v>0</v>
      </c>
      <c r="C2" s="10">
        <v>0</v>
      </c>
      <c r="D2" s="10">
        <v>0</v>
      </c>
      <c r="E2" s="10">
        <f>AVERAGE(B2:D2)</f>
        <v>0</v>
      </c>
      <c r="F2" s="11">
        <v>0</v>
      </c>
    </row>
    <row r="3" spans="1:6">
      <c r="A3" s="9">
        <v>2</v>
      </c>
      <c r="B3" s="10">
        <v>0.35</v>
      </c>
      <c r="C3" s="10">
        <v>0.36</v>
      </c>
      <c r="D3" s="10">
        <v>0.34</v>
      </c>
      <c r="E3" s="10">
        <f>AVERAGE(B3:D3)</f>
        <v>0</v>
      </c>
      <c r="F3" s="11">
        <f>STDEV.S(B3:D3)</f>
        <v>0</v>
      </c>
    </row>
    <row r="4" spans="1:6">
      <c r="A4" s="9">
        <v>4</v>
      </c>
      <c r="B4" s="10">
        <v>0.6899999999999999</v>
      </c>
      <c r="C4" s="10">
        <v>0.7</v>
      </c>
      <c r="D4" s="10">
        <v>0.68</v>
      </c>
      <c r="E4" s="10">
        <f>AVERAGE(B4:D4)</f>
        <v>0</v>
      </c>
      <c r="F4" s="11">
        <f>STDEV.S(B4:D4)</f>
        <v>0</v>
      </c>
    </row>
    <row r="5" spans="1:6">
      <c r="A5" s="9">
        <v>6</v>
      </c>
      <c r="B5" s="10">
        <v>1.05</v>
      </c>
      <c r="C5" s="10">
        <v>1.03</v>
      </c>
      <c r="D5" s="10">
        <v>1.07</v>
      </c>
      <c r="E5" s="10">
        <f>AVERAGE(B5:D5)</f>
        <v>0</v>
      </c>
      <c r="F5" s="11">
        <f>STDEV.S(B5:D5)</f>
        <v>0</v>
      </c>
    </row>
    <row r="6" spans="1:6">
      <c r="A6" s="9">
        <v>8</v>
      </c>
      <c r="B6" s="10">
        <v>1.38</v>
      </c>
      <c r="C6" s="10">
        <v>1.37</v>
      </c>
      <c r="D6" s="10">
        <v>1.39</v>
      </c>
      <c r="E6" s="10">
        <f>AVERAGE(B6:D6)</f>
        <v>0</v>
      </c>
      <c r="F6" s="11">
        <f>STDEV.S(B6:D6)</f>
        <v>0</v>
      </c>
    </row>
    <row r="7" spans="1:6">
      <c r="A7" s="9">
        <v>10</v>
      </c>
      <c r="B7" s="10">
        <v>1.72</v>
      </c>
      <c r="C7" s="10">
        <v>1.74</v>
      </c>
      <c r="D7" s="10">
        <v>1.7</v>
      </c>
      <c r="E7" s="10">
        <f>AVERAGE(B7:D7)</f>
        <v>0</v>
      </c>
      <c r="F7" s="11">
        <f>STDEV.S(B7:D7)</f>
        <v>0</v>
      </c>
    </row>
    <row r="8" spans="1:6">
      <c r="A8" s="9">
        <v>12</v>
      </c>
      <c r="B8" s="10">
        <v>2.05</v>
      </c>
      <c r="C8" s="10">
        <v>2.06</v>
      </c>
      <c r="D8" s="10">
        <v>2.04</v>
      </c>
      <c r="E8" s="10">
        <f>AVERAGE(B8:D8)</f>
        <v>0</v>
      </c>
      <c r="F8" s="11">
        <f>STDEV.S(B8:D8)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RELATÓRIO TÉCNICO</vt:lpstr>
      <vt:lpstr>DADOS (Backend)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2026-05-01T22:46:33Z</dcterms:created>
  <dcterms:modified xsi:type="dcterms:W3CDTF">2026-05-01T22:46:33Z</dcterms:modified>
</cp:coreProperties>
</file>