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 (Backend)" sheetId="2" r:id="rId2"/>
  </sheets>
  <calcPr calcId="124519" fullCalcOnLoad="1"/>
</workbook>
</file>

<file path=xl/sharedStrings.xml><?xml version="1.0" encoding="utf-8"?>
<sst xmlns="http://schemas.openxmlformats.org/spreadsheetml/2006/main" count="13" uniqueCount="10">
  <si>
    <t>Tempo (s)</t>
  </si>
  <si>
    <t>Distância (m)</t>
  </si>
  <si>
    <t>Velocidade Média (m/s)</t>
  </si>
  <si>
    <t>---</t>
  </si>
  <si>
    <t>ANÁLISE CINEMÁTICA AVANÇADA</t>
  </si>
  <si>
    <t>MODELAGEM DE SISTEMAS FÍSICOS  |  MRU (REPETIÇÃO 01)  |  POR: KAYQUE RODRIGUES</t>
  </si>
  <si>
    <t>TEMPO TOTAL</t>
  </si>
  <si>
    <t>DISTÂNCIA TOTAL</t>
  </si>
  <si>
    <t>VELOCIDADE MÉDIA GLOBAL</t>
  </si>
  <si>
    <t>Vel. Média (m/s)</t>
  </si>
</sst>
</file>

<file path=xl/styles.xml><?xml version="1.0" encoding="utf-8"?>
<styleSheet xmlns="http://schemas.openxmlformats.org/spreadsheetml/2006/main">
  <numFmts count="4">
    <numFmt numFmtId="164" formatCode="0&quot; s&quot;"/>
    <numFmt numFmtId="165" formatCode="0.00&quot; m&quot;"/>
    <numFmt numFmtId="166" formatCode="0.000&quot; m/s&quot;"/>
    <numFmt numFmtId="167" formatCode="0.00"/>
  </numFmts>
  <fonts count="10">
    <font>
      <sz val="11"/>
      <color theme="1"/>
      <name val="Calibri"/>
      <family val="2"/>
      <scheme val="minor"/>
    </font>
    <font>
      <b/>
      <sz val="22"/>
      <color rgb="FFF8FAFC"/>
      <name val="Calibri"/>
      <family val="2"/>
      <scheme val="minor"/>
    </font>
    <font>
      <sz val="11"/>
      <color rgb="FF38BDF8"/>
      <name val="Calibri"/>
      <family val="2"/>
      <scheme val="minor"/>
    </font>
    <font>
      <b/>
      <sz val="9"/>
      <color rgb="FF94A3B8"/>
      <name val="Calibri"/>
      <family val="2"/>
      <scheme val="minor"/>
    </font>
    <font>
      <b/>
      <sz val="20"/>
      <color rgb="FFF8FAFC"/>
      <name val="Calibri"/>
      <family val="2"/>
      <scheme val="minor"/>
    </font>
    <font>
      <b/>
      <sz val="20"/>
      <color rgb="FF38BDF8"/>
      <name val="Calibri"/>
      <family val="2"/>
      <scheme val="minor"/>
    </font>
    <font>
      <b/>
      <sz val="20"/>
      <color rgb="FF10B981"/>
      <name val="Calibri"/>
      <family val="2"/>
      <scheme val="minor"/>
    </font>
    <font>
      <b/>
      <sz val="11"/>
      <color rgb="FF0F172A"/>
      <name val="Calibri"/>
      <family val="2"/>
      <scheme val="minor"/>
    </font>
    <font>
      <sz val="11"/>
      <color rgb="FFF8FAF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8BDF8"/>
        <bgColor indexed="64"/>
      </patternFill>
    </fill>
    <fill>
      <patternFill patternType="solid">
        <fgColor rgb="FF334155"/>
        <bgColor indexed="64"/>
      </patternFill>
    </fill>
  </fills>
  <borders count="5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/>
      <diagonal/>
    </border>
    <border>
      <left style="thin">
        <color rgb="FF0F172A"/>
      </left>
      <right style="thin">
        <color rgb="FF0F172A"/>
      </right>
      <top/>
      <bottom style="thin">
        <color rgb="FF0F172A"/>
      </bottom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5" fontId="5" fillId="3" borderId="2" xfId="0" applyNumberFormat="1" applyFont="1" applyFill="1" applyBorder="1" applyAlignment="1">
      <alignment horizontal="center"/>
    </xf>
    <xf numFmtId="166" fontId="6" fillId="3" borderId="2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67" fontId="8" fillId="3" borderId="3" xfId="0" applyNumberFormat="1" applyFont="1" applyFill="1" applyBorder="1" applyAlignment="1">
      <alignment horizontal="center" vertical="center"/>
    </xf>
    <xf numFmtId="0" fontId="9" fillId="5" borderId="4" xfId="0" applyFont="1" applyFill="1" applyBorder="1"/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F8FAFC"/>
                </a:solidFill>
              </a:defRPr>
            </a:pPr>
            <a:r>
              <a:rPr lang="en-US" sz="1200" b="1" baseline="0">
                <a:solidFill>
                  <a:srgbClr val="F8FAFC"/>
                </a:solidFill>
              </a:rPr>
              <a:t>COMPORTAMENTO CINEMÁTICO (s × m)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Modelagem</c:v>
          </c:tx>
          <c:spPr>
            <a:ln w="31750">
              <a:solidFill>
                <a:srgbClr val="38BDF8"/>
              </a:solidFill>
            </a:ln>
          </c:spPr>
          <c:marker>
            <c:symbol val="circle"/>
            <c:size val="8"/>
            <c:spPr>
              <a:solidFill>
                <a:srgbClr val="1E293B"/>
              </a:solidFill>
              <a:ln>
                <a:solidFill>
                  <a:srgbClr val="38BDF8"/>
                </a:solidFill>
              </a:ln>
            </c:spPr>
          </c:marker>
          <c:trendline>
            <c:name>Tendência Linear</c:name>
            <c:spPr>
              <a:ln w="25400">
                <a:solidFill>
                  <a:srgbClr val="10B981"/>
                </a:solidFill>
                <a:prstDash val="dash"/>
              </a:ln>
            </c:spPr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'DADOS (Backend)'!$A$2:$A$8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'DADOS (Backend)'!$B$2:$B$8</c:f>
              <c:numCache>
                <c:formatCode>General</c:formatCode>
                <c:ptCount val="7"/>
                <c:pt idx="0">
                  <c:v>0</c:v>
                </c:pt>
                <c:pt idx="1">
                  <c:v>0.35</c:v>
                </c:pt>
                <c:pt idx="2">
                  <c:v>0.6899999999999999</c:v>
                </c:pt>
                <c:pt idx="3">
                  <c:v>1.05</c:v>
                </c:pt>
                <c:pt idx="4">
                  <c:v>1.38</c:v>
                </c:pt>
                <c:pt idx="5">
                  <c:v>1.72</c:v>
                </c:pt>
                <c:pt idx="6">
                  <c:v>2.05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94A3B8"/>
                    </a:solidFill>
                  </a:defRPr>
                </a:pPr>
                <a:r>
                  <a:rPr lang="en-US" baseline="0">
                    <a:solidFill>
                      <a:srgbClr val="94A3B8"/>
                    </a:solidFill>
                  </a:rPr>
                  <a:t>Tempo (s)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475569"/>
            </a:solidFill>
          </a:ln>
        </c:spPr>
        <c:txPr>
          <a:bodyPr/>
          <a:lstStyle/>
          <a:p>
            <a:pPr>
              <a:defRPr baseline="0">
                <a:solidFill>
                  <a:srgbClr val="94A3B8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334155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94A3B8"/>
                    </a:solidFill>
                  </a:defRPr>
                </a:pPr>
                <a:r>
                  <a:rPr lang="en-US" baseline="0">
                    <a:solidFill>
                      <a:srgbClr val="94A3B8"/>
                    </a:solidFill>
                  </a:rPr>
                  <a:t>Distância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475569"/>
            </a:solidFill>
          </a:ln>
        </c:spPr>
        <c:txPr>
          <a:bodyPr/>
          <a:lstStyle/>
          <a:p>
            <a:pPr>
              <a:defRPr baseline="0">
                <a:solidFill>
                  <a:srgbClr val="94A3B8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0F172A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baseline="0">
              <a:solidFill>
                <a:srgbClr val="94A3B8"/>
              </a:solidFill>
            </a:defRPr>
          </a:pPr>
          <a:endParaRPr lang="en-US"/>
        </a:p>
      </c:txPr>
    </c:legend>
    <c:plotVisOnly val="1"/>
  </c:chart>
  <c:spPr>
    <a:solidFill>
      <a:srgbClr val="0F172A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17</xdr:col>
      <xdr:colOff>9525</xdr:colOff>
      <xdr:row>20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0"/>
  <sheetViews>
    <sheetView showGridLines="0" tabSelected="1" workbookViewId="0"/>
  </sheetViews>
  <sheetFormatPr defaultRowHeight="15"/>
  <cols>
    <col min="1" max="1" width="8.7109375" style="1" customWidth="1"/>
    <col min="2" max="2" width="3.7109375" customWidth="1"/>
    <col min="3" max="4" width="18.7109375" customWidth="1"/>
    <col min="5" max="5" width="22.7109375" customWidth="1"/>
    <col min="6" max="25" width="8.7109375" style="1" customWidth="1"/>
  </cols>
  <sheetData>
    <row r="1" spans="2:11" s="1" customFormat="1" ht="16" customHeight="1"/>
    <row r="2" spans="2:11" s="1" customFormat="1" ht="16" customHeight="1">
      <c r="B2" s="2" t="s">
        <v>4</v>
      </c>
    </row>
    <row r="3" spans="2:11" s="1" customFormat="1" ht="16" customHeight="1">
      <c r="B3" s="3" t="s">
        <v>5</v>
      </c>
    </row>
    <row r="4" spans="2:11" s="1" customFormat="1" ht="16" customHeight="1"/>
    <row r="5" spans="2:11" s="1" customFormat="1" ht="16" customHeight="1">
      <c r="C5" s="4" t="s">
        <v>6</v>
      </c>
      <c r="D5" s="4"/>
      <c r="F5" s="4" t="s">
        <v>7</v>
      </c>
      <c r="G5" s="4"/>
      <c r="I5" s="4" t="s">
        <v>8</v>
      </c>
      <c r="J5" s="4"/>
      <c r="K5" s="4"/>
    </row>
    <row r="6" spans="2:11" ht="20" customHeight="1">
      <c r="C6" s="5">
        <f>'DADOS (Backend)'!A8</f>
        <v>0</v>
      </c>
      <c r="D6" s="5"/>
      <c r="F6" s="6">
        <f>'DADOS (Backend)'!B8</f>
        <v>0</v>
      </c>
      <c r="G6" s="6"/>
      <c r="I6" s="7">
        <f>AVERAGE('DADOS (Backend)'!C3:C8)</f>
        <v>0</v>
      </c>
      <c r="J6" s="7"/>
      <c r="K6" s="7"/>
    </row>
    <row r="7" spans="2:11" ht="40" customHeight="1"/>
    <row r="8" spans="2:11" s="1" customFormat="1" ht="16" customHeight="1"/>
    <row r="9" spans="2:11" ht="25" customHeight="1">
      <c r="C9" s="8" t="s">
        <v>0</v>
      </c>
      <c r="D9" s="8" t="s">
        <v>1</v>
      </c>
      <c r="E9" s="8" t="s">
        <v>9</v>
      </c>
    </row>
    <row r="10" spans="2:11" ht="22" customHeight="1">
      <c r="C10" s="9">
        <f>'DADOS (Backend)'!A2</f>
        <v>0</v>
      </c>
      <c r="D10" s="10">
        <f>'DADOS (Backend)'!B2</f>
        <v>0</v>
      </c>
      <c r="E10" s="9" t="s">
        <v>3</v>
      </c>
    </row>
    <row r="11" spans="2:11" ht="22" customHeight="1">
      <c r="C11" s="9">
        <f>'DADOS (Backend)'!A3</f>
        <v>0</v>
      </c>
      <c r="D11" s="10">
        <f>'DADOS (Backend)'!B3</f>
        <v>0</v>
      </c>
      <c r="E11" s="10">
        <f>'DADOS (Backend)'!C3</f>
        <v>0</v>
      </c>
    </row>
    <row r="12" spans="2:11" ht="22" customHeight="1">
      <c r="C12" s="9">
        <f>'DADOS (Backend)'!A4</f>
        <v>0</v>
      </c>
      <c r="D12" s="10">
        <f>'DADOS (Backend)'!B4</f>
        <v>0</v>
      </c>
      <c r="E12" s="10">
        <f>'DADOS (Backend)'!C4</f>
        <v>0</v>
      </c>
    </row>
    <row r="13" spans="2:11" ht="22" customHeight="1">
      <c r="C13" s="9">
        <f>'DADOS (Backend)'!A5</f>
        <v>0</v>
      </c>
      <c r="D13" s="10">
        <f>'DADOS (Backend)'!B5</f>
        <v>0</v>
      </c>
      <c r="E13" s="10">
        <f>'DADOS (Backend)'!C5</f>
        <v>0</v>
      </c>
    </row>
    <row r="14" spans="2:11" ht="22" customHeight="1">
      <c r="C14" s="9">
        <f>'DADOS (Backend)'!A6</f>
        <v>0</v>
      </c>
      <c r="D14" s="10">
        <f>'DADOS (Backend)'!B6</f>
        <v>0</v>
      </c>
      <c r="E14" s="10">
        <f>'DADOS (Backend)'!C6</f>
        <v>0</v>
      </c>
    </row>
    <row r="15" spans="2:11" ht="22" customHeight="1">
      <c r="C15" s="9">
        <f>'DADOS (Backend)'!A7</f>
        <v>0</v>
      </c>
      <c r="D15" s="10">
        <f>'DADOS (Backend)'!B7</f>
        <v>0</v>
      </c>
      <c r="E15" s="10">
        <f>'DADOS (Backend)'!C7</f>
        <v>0</v>
      </c>
    </row>
    <row r="16" spans="2:11" ht="22" customHeight="1">
      <c r="C16" s="9">
        <f>'DADOS (Backend)'!A8</f>
        <v>0</v>
      </c>
      <c r="D16" s="10">
        <f>'DADOS (Backend)'!B8</f>
        <v>0</v>
      </c>
      <c r="E16" s="10">
        <f>'DADOS (Backend)'!C8</f>
        <v>0</v>
      </c>
    </row>
    <row r="17" s="1" customFormat="1" ht="16" customHeight="1"/>
    <row r="18" s="1" customFormat="1" ht="16" customHeight="1"/>
    <row r="19" s="1" customFormat="1" ht="16" customHeight="1"/>
    <row r="20" s="1" customFormat="1" ht="16" customHeight="1"/>
    <row r="21" s="1" customFormat="1" ht="16" customHeight="1"/>
    <row r="22" s="1" customFormat="1" ht="16" customHeight="1"/>
    <row r="23" s="1" customFormat="1" ht="16" customHeight="1"/>
    <row r="24" s="1" customFormat="1" ht="16" customHeight="1"/>
    <row r="25" s="1" customFormat="1" ht="16" customHeight="1"/>
    <row r="26" s="1" customFormat="1" ht="16" customHeight="1"/>
    <row r="27" s="1" customFormat="1" ht="16" customHeight="1"/>
    <row r="28" s="1" customFormat="1" ht="16" customHeight="1"/>
    <row r="29" s="1" customFormat="1" ht="16" customHeight="1"/>
    <row r="30" s="1" customFormat="1" ht="16" customHeight="1"/>
    <row r="31" s="1" customFormat="1" ht="16" customHeight="1"/>
    <row r="32" s="1" customFormat="1" ht="16" customHeight="1"/>
    <row r="33" s="1" customFormat="1" ht="16" customHeight="1"/>
    <row r="34" s="1" customFormat="1" ht="16" customHeight="1"/>
    <row r="35" s="1" customFormat="1" ht="16" customHeight="1"/>
    <row r="36" s="1" customFormat="1" ht="16" customHeight="1"/>
    <row r="37" s="1" customFormat="1" ht="16" customHeight="1"/>
    <row r="38" s="1" customFormat="1" ht="16" customHeight="1"/>
    <row r="39" s="1" customFormat="1" ht="16" customHeight="1"/>
    <row r="40" s="1" customFormat="1" ht="16" customHeight="1"/>
  </sheetData>
  <mergeCells count="6">
    <mergeCell ref="C5:D5"/>
    <mergeCell ref="C6:D6"/>
    <mergeCell ref="F5:G5"/>
    <mergeCell ref="F6:G6"/>
    <mergeCell ref="I5:K5"/>
    <mergeCell ref="I6:K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/>
  </sheetViews>
  <sheetFormatPr defaultRowHeight="15"/>
  <cols>
    <col min="1" max="3" width="20.7109375" customWidth="1"/>
  </cols>
  <sheetData>
    <row r="1" spans="1:3">
      <c r="A1" s="11" t="s">
        <v>0</v>
      </c>
      <c r="B1" s="11" t="s">
        <v>1</v>
      </c>
      <c r="C1" s="11" t="s">
        <v>2</v>
      </c>
    </row>
    <row r="2" spans="1:3">
      <c r="A2" s="12">
        <v>0</v>
      </c>
      <c r="B2" s="13">
        <v>0</v>
      </c>
      <c r="C2" s="12" t="s">
        <v>3</v>
      </c>
    </row>
    <row r="3" spans="1:3">
      <c r="A3" s="12">
        <v>2</v>
      </c>
      <c r="B3" s="13">
        <v>0.35</v>
      </c>
      <c r="C3" s="13">
        <f>(B3-B2)/(A3-A2)</f>
        <v>0</v>
      </c>
    </row>
    <row r="4" spans="1:3">
      <c r="A4" s="12">
        <v>4</v>
      </c>
      <c r="B4" s="13">
        <v>0.6899999999999999</v>
      </c>
      <c r="C4" s="13">
        <f>(B4-B3)/(A4-A3)</f>
        <v>0</v>
      </c>
    </row>
    <row r="5" spans="1:3">
      <c r="A5" s="12">
        <v>6</v>
      </c>
      <c r="B5" s="13">
        <v>1.05</v>
      </c>
      <c r="C5" s="13">
        <f>(B5-B4)/(A5-A4)</f>
        <v>0</v>
      </c>
    </row>
    <row r="6" spans="1:3">
      <c r="A6" s="12">
        <v>8</v>
      </c>
      <c r="B6" s="13">
        <v>1.38</v>
      </c>
      <c r="C6" s="13">
        <f>(B6-B5)/(A6-A5)</f>
        <v>0</v>
      </c>
    </row>
    <row r="7" spans="1:3">
      <c r="A7" s="12">
        <v>10</v>
      </c>
      <c r="B7" s="13">
        <v>1.72</v>
      </c>
      <c r="C7" s="13">
        <f>(B7-B6)/(A7-A6)</f>
        <v>0</v>
      </c>
    </row>
    <row r="8" spans="1:3">
      <c r="A8" s="12">
        <v>12</v>
      </c>
      <c r="B8" s="13">
        <v>2.05</v>
      </c>
      <c r="C8" s="13">
        <f>(B8-B7)/(A8-A7)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DADOS (Backend)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2026-04-30T17:29:12Z</dcterms:created>
  <dcterms:modified xsi:type="dcterms:W3CDTF">2026-04-30T17:29:12Z</dcterms:modified>
</cp:coreProperties>
</file>